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3ebab45e0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_Master_AI" sheetId="1" r:id="R5679367680aa473e"/>
    <x:sheet xmlns:r="http://schemas.openxmlformats.org/officeDocument/2006/relationships" name="Lists" sheetId="2" r:id="R4e92decb70da46d0"/>
    <x:sheet xmlns:r="http://schemas.openxmlformats.org/officeDocument/2006/relationships" name="Dashboard" sheetId="3" r:id="R4db8d80abfcf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b2df045374cb1" /><Relationship Type="http://schemas.openxmlformats.org/officeDocument/2006/relationships/theme" Target="/xl/theme/theme1.xml" Id="Re47ede2b56434bdc" /><Relationship Type="http://schemas.openxmlformats.org/officeDocument/2006/relationships/sharedStrings" Target="/xl/sharedStrings.xml" Id="R9a40c2caf10d46ab" /><Relationship Type="http://schemas.openxmlformats.org/officeDocument/2006/relationships/worksheet" Target="/xl/worksheets/sheet1.xml" Id="R5679367680aa473e" /><Relationship Type="http://schemas.openxmlformats.org/officeDocument/2006/relationships/worksheet" Target="/xl/worksheets/sheet2.xml" Id="R4e92decb70da46d0" /><Relationship Type="http://schemas.openxmlformats.org/officeDocument/2006/relationships/worksheet" Target="/xl/worksheets/sheet3.xml" Id="R4db8d80abfcf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28" hidden="0" customWidth="1"/>
    <x:col min="7" max="7" width="22" hidden="0" customWidth="1"/>
    <x:col min="8" max="8" width="15" hidden="0" customWidth="1"/>
    <x:col min="9" max="9" width="22" hidden="0" customWidth="1"/>
    <x:col min="10" max="10" width="22" hidden="0" customWidth="1"/>
    <x:col min="11" max="11" width="20" hidden="0" customWidth="1"/>
    <x:col min="12" max="12" width="25" hidden="0" customWidth="1"/>
    <x:col min="13" max="13" width="38" hidden="0" customWidth="1"/>
    <x:col min="14" max="14" width="34" hidden="0" customWidth="1"/>
    <x:col min="15" max="15" width="30" hidden="0" customWidth="1"/>
    <x:col min="16" max="16" width="30" hidden="0" customWidth="1"/>
    <x:col min="17" max="17" width="30" hidden="0" customWidth="1"/>
    <x:col min="18" max="18" width="22" hidden="0" customWidth="1"/>
    <x:col min="19" max="19" width="12" hidden="0" customWidth="1"/>
    <x:col min="20" max="20" width="16" hidden="0" customWidth="1"/>
    <x:col min="21" max="21" width="22" hidden="0" customWidth="1"/>
    <x:col min="22" max="22" width="12" hidden="0" customWidth="1"/>
    <x:col min="23" max="23" width="30" hidden="0" customWidth="1"/>
    <x:col min="24" max="24" width="12" hidden="0" customWidth="1"/>
    <x:col min="25" max="25" width="38" hidden="0" customWidth="1"/>
    <x:col min="26" max="26" width="18" hidden="0" customWidth="1"/>
    <x:col min="27" max="27" width="14" hidden="0" customWidth="1"/>
    <x:col min="28" max="28" width="40" hidden="0" customWidth="1"/>
    <x:col min="29" max="29" width="36" hidden="0" customWidth="1"/>
    <x:col min="30" max="30" width="38" hidden="0" customWidth="1"/>
    <x:col min="31" max="31" width="34" hidden="0" customWidth="1"/>
    <x:col min="32" max="32" width="30" hidden="0" customWidth="1"/>
    <x:col min="33" max="33" width="28" hidden="0" customWidth="1"/>
    <x:col min="34" max="34" width="34" hidden="0" customWidth="1"/>
    <x:col min="35" max="35" width="30" hidden="0" customWidth="1"/>
    <x:col min="36" max="36" width="14" hidden="0" customWidth="1"/>
    <x:col min="37" max="37" width="16" hidden="0" customWidth="1"/>
    <x:col min="38" max="38" width="12" hidden="0" customWidth="1"/>
    <x:col min="39" max="39" width="20" hidden="0" customWidth="1"/>
    <x:col min="40" max="40" width="25" hidden="0" customWidth="1"/>
  </x:cols>
  <x:sheetData>
    <x:row r="1">
      <x:c r="A1" s="6" t="str">
        <x:v>VOC ID</x:v>
      </x:c>
      <x:c r="B1" s="6" t="str">
        <x:v>Date</x:v>
      </x:c>
      <x:c r="C1" s="6" t="str">
        <x:v>Customer</x:v>
      </x:c>
      <x:c r="D1" s="6" t="str">
        <x:v>DRI</x:v>
      </x:c>
      <x:c r="E1" s="6" t="str">
        <x:v>Product</x:v>
      </x:c>
      <x:c r="F1" s="6" t="str">
        <x:v>Material / Product Type</x:v>
      </x:c>
      <x:c r="G1" s="6" t="str">
        <x:v>Product Structure</x:v>
      </x:c>
      <x:c r="H1" s="6" t="str">
        <x:v>Lot No.</x:v>
      </x:c>
      <x:c r="I1" s="6" t="str">
        <x:v>Quantity</x:v>
      </x:c>
      <x:c r="J1" s="6" t="str">
        <x:v>Process</x:v>
      </x:c>
      <x:c r="K1" s="6" t="str">
        <x:v>Failure Category</x:v>
      </x:c>
      <x:c r="L1" s="6" t="str">
        <x:v>Failure Detail</x:v>
      </x:c>
      <x:c r="M1" s="6" t="str">
        <x:v>VOC Original Text</x:v>
      </x:c>
      <x:c r="N1" s="6" t="str">
        <x:v>Issue Summary</x:v>
      </x:c>
      <x:c r="O1" s="6" t="str">
        <x:v>Summary_KO</x:v>
      </x:c>
      <x:c r="P1" s="6" t="str">
        <x:v>Summary_ZH</x:v>
      </x:c>
      <x:c r="Q1" s="6" t="str">
        <x:v>Summary_EN</x:v>
      </x:c>
      <x:c r="R1" s="6" t="str">
        <x:v>SPEC</x:v>
      </x:c>
      <x:c r="S1" s="6" t="str">
        <x:v>Actual</x:v>
      </x:c>
      <x:c r="T1" s="6" t="str">
        <x:v>Judgement</x:v>
      </x:c>
      <x:c r="U1" s="6" t="str">
        <x:v>Occurrence Condition</x:v>
      </x:c>
      <x:c r="V1" s="6" t="str">
        <x:v>Defect Rate</x:v>
      </x:c>
      <x:c r="W1" s="6" t="str">
        <x:v>Customer Impact</x:v>
      </x:c>
      <x:c r="X1" s="6" t="str">
        <x:v>Priority</x:v>
      </x:c>
      <x:c r="Y1" s="6" t="str">
        <x:v>Customer Request</x:v>
      </x:c>
      <x:c r="Z1" s="6" t="str">
        <x:v>Response Due</x:v>
      </x:c>
      <x:c r="AA1" s="6" t="str">
        <x:v>FACA Due</x:v>
      </x:c>
      <x:c r="AB1" s="6" t="str">
        <x:v>Internal Action Items</x:v>
      </x:c>
      <x:c r="AC1" s="6" t="str">
        <x:v>AI Suggested Cause</x:v>
      </x:c>
      <x:c r="AD1" s="6" t="str">
        <x:v>Required Check Points</x:v>
      </x:c>
      <x:c r="AE1" s="6" t="str">
        <x:v>Missing Information</x:v>
      </x:c>
      <x:c r="AF1" s="6" t="str">
        <x:v>Confirmed Root Cause</x:v>
      </x:c>
      <x:c r="AG1" s="6" t="str">
        <x:v>Escape Cause</x:v>
      </x:c>
      <x:c r="AH1" s="6" t="str">
        <x:v>Corrective Action</x:v>
      </x:c>
      <x:c r="AI1" s="6" t="str">
        <x:v>Verification Result</x:v>
      </x:c>
      <x:c r="AJ1" s="6" t="str">
        <x:v>FACA No.</x:v>
      </x:c>
      <x:c r="AK1" s="6" t="str">
        <x:v>Status</x:v>
      </x:c>
      <x:c r="AL1" s="6" t="str">
        <x:v>Close Date</x:v>
      </x:c>
      <x:c r="AM1" s="6" t="str">
        <x:v>Picture / Link</x:v>
      </x:c>
      <x:c r="AN1" s="6" t="str">
        <x:v>Remark</x:v>
      </x:c>
    </x:row>
    <x:row r="2">
      <x:c r="A2" s="14" t="str">
        <x:v>VOC-2026-001</x:v>
      </x:c>
      <x:c r="B2" s="16" t="n">
        <x:v>46265</x:v>
      </x:c>
      <x:c r="C2" s="14" t="str">
        <x:v>TEST</x:v>
      </x:c>
      <x:c r="D2" s="14" t="str">
        <x:v>Jongin</x:v>
      </x:c>
      <x:c r="E2" s="14" t="str">
        <x:v>DSC-NW030D</x:v>
      </x:c>
      <x:c r="F2" s="14" t="str">
        <x:v>导电布双面胶带 / Conductive fabric double-sided tape</x:v>
      </x:c>
      <x:c r="G2" s="14" t="str"/>
      <x:c r="H2" s="14" t="str">
        <x:v>0BK255L001</x:v>
      </x:c>
      <x:c r="I2" s="14" t="str">
        <x:v>227MM*120M, 197MM*320M</x:v>
      </x:c>
      <x:c r="J2" s="14" t="str">
        <x:v>Customer Incoming / Material</x:v>
      </x:c>
      <x:c r="K2" s="14" t="str">
        <x:v>Appearance</x:v>
      </x:c>
      <x:c r="L2" s="14" t="str">
        <x:v>表面凹凸点 / 표면 요철점</x:v>
      </x:c>
      <x:c r="M2" s="14" t="str">
        <x:v>贵司与于6.27到料的DSC-NW030D导电布双面胶带，批次号：0BK255L001，数量：227MM*120M，197MM*320M，原材表面存在凹凸点问题。spec：5mm*15mm范围内，QTY≤3，实测5个。该凹凸点现象数量较密，将会影响后续的成品，导致我司无法出货。</x:v>
      </x:c>
      <x:c r="N2" s="14" t="str">
        <x:v>DSC-NW030D LOT 0BK255L001 원재료 표면에 요철점 다수 발생. Spec QTY≤3/5×15mm 대비 실측 5개로 Spec Out.</x:v>
      </x:c>
      <x:c r="O2" s="14" t="str">
        <x:v>DSC-NW030D LOT 0BK255L001 원재료 표면에 요철점 다수 발생. Spec QTY≤3/5×15mm 대비 실측 5개로 Spec Out.</x:v>
      </x:c>
      <x:c r="P2" s="14" t="str">
        <x:v>DSC-NW030D批次0BK255L001原材表面出现较密集凹凸点。规格为5mm×15mm范围内QTY≤3，实测5个，判定超规格。</x:v>
      </x:c>
      <x:c r="Q2" s="14" t="str">
        <x:v>Dense surface bumps were found on DSC-NW030D lot 0BK255L001. Spec is QTY≤3 within 5mm×15mm; actual count is 5, therefore out of spec.</x:v>
      </x:c>
      <x:c r="R2" s="14" t="str">
        <x:v>5mm*15mm 범위 QTY≤3</x:v>
      </x:c>
      <x:c r="S2" s="14" t="str">
        <x:v>5</x:v>
      </x:c>
      <x:c r="T2" s="14" t="str">
        <x:v>NG / Spec Out</x:v>
      </x:c>
      <x:c r="U2" s="14" t="str"/>
      <x:c r="V2" s="14" t="str"/>
      <x:c r="W2" s="14" t="str">
        <x:v>후속 완제품 영향으로 고객 출하 불가</x:v>
      </x:c>
      <x:c r="X2" s="14" t="str">
        <x:v>Critical</x:v>
      </x:c>
      <x:c r="Y2" s="14" t="str">
        <x:v>1) NG품 반품  2) 합격 재고 확인 및 교환  3) 이상 원인 분석 및 FACA 회신</x:v>
      </x:c>
      <x:c r="Z2" s="14" t="str">
        <x:v>10/21 18:00</x:v>
      </x:c>
      <x:c r="AA2" s="14" t="str">
        <x:v>10/23</x:v>
      </x:c>
      <x:c r="AB2" s="14" t="str">
        <x:v>해당 LOT 재고 Hold; 동일 LOT/인접 LOT 외관 선별; 대체 합격품 확인; 불량 Sample 확보; 생산/원재료 이력 Trace</x:v>
      </x:c>
      <x:c r="AC2" s="14" t="str">
        <x:v>원단 표면 이상 / 이물 / Coating unevenness / Lamination pressure / 권취 압흔 가능성</x:v>
      </x:c>
      <x:c r="AD2" s="14" t="str">
        <x:v>동일 LOT 재고 확인; 폭별/길이별 분포; 정상 LOT 비교; 원재료 LOT; 공정 이력; Sample 현미경 관찰</x:v>
      </x:c>
      <x:c r="AE2" s="14" t="str">
        <x:v>불량률; 발생 위치 분포; 227mm/197mm 동시 발생 여부; 불량 Sample; 고객 측 판정 방법</x:v>
      </x:c>
      <x:c r="AF2" s="14" t="str"/>
      <x:c r="AG2" s="14" t="str"/>
      <x:c r="AH2" s="14" t="str"/>
      <x:c r="AI2" s="14" t="str"/>
      <x:c r="AJ2" s="14" t="str"/>
      <x:c r="AK2" s="14" t="str">
        <x:v>Open</x:v>
      </x:c>
      <x:c r="AL2" s="16" t="str"/>
      <x:c r="AM2" s="14" t="str"/>
      <x:c r="AN2" s="14" t="str">
        <x:v>예시 행</x:v>
      </x:c>
    </x:row>
    <x:row r="3">
      <x:c r="A3" s="14"/>
      <x:c r="B3" s="16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6"/>
      <x:c r="AM3" s="14"/>
      <x:c r="AN3" s="14"/>
    </x:row>
    <x:row r="4">
      <x:c r="A4" s="14"/>
      <x:c r="B4" s="16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6"/>
      <x:c r="AM4" s="14"/>
      <x:c r="AN4" s="14"/>
    </x:row>
    <x:row r="5">
      <x:c r="A5" s="14"/>
      <x:c r="B5" s="16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6"/>
      <x:c r="AM5" s="14"/>
      <x:c r="AN5" s="14"/>
    </x:row>
    <x:row r="6">
      <x:c r="A6" s="14"/>
      <x:c r="B6" s="16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6"/>
      <x:c r="AM6" s="14"/>
      <x:c r="AN6" s="14"/>
    </x:row>
    <x:row r="7">
      <x:c r="A7" s="14"/>
      <x:c r="B7" s="16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6"/>
      <x:c r="AM7" s="14"/>
      <x:c r="AN7" s="14"/>
    </x:row>
    <x:row r="8">
      <x:c r="A8" s="14"/>
      <x:c r="B8" s="16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6"/>
      <x:c r="AM8" s="14"/>
      <x:c r="AN8" s="14"/>
    </x:row>
    <x:row r="9">
      <x:c r="A9" s="14"/>
      <x:c r="B9" s="16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6"/>
      <x:c r="AM9" s="14"/>
      <x:c r="AN9" s="14"/>
    </x:row>
    <x:row r="10">
      <x:c r="A10" s="14"/>
      <x:c r="B10" s="16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6"/>
      <x:c r="AM10" s="14"/>
      <x:c r="AN10" s="14"/>
    </x:row>
    <x:row r="11">
      <x:c r="A11" s="14"/>
      <x:c r="B11" s="16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6"/>
      <x:c r="AM11" s="14"/>
      <x:c r="AN11" s="14"/>
    </x:row>
    <x:row r="12">
      <x:c r="A12" s="14"/>
      <x:c r="B12" s="16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6"/>
      <x:c r="AM12" s="14"/>
      <x:c r="AN12" s="14"/>
    </x:row>
    <x:row r="13">
      <x:c r="A13" s="14"/>
      <x:c r="B13" s="16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6"/>
      <x:c r="AM13" s="14"/>
      <x:c r="AN13" s="14"/>
    </x:row>
    <x:row r="14">
      <x:c r="A14" s="14"/>
      <x:c r="B14" s="16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6"/>
      <x:c r="AM14" s="14"/>
      <x:c r="AN14" s="14"/>
    </x:row>
    <x:row r="15">
      <x:c r="A15" s="14"/>
      <x:c r="B15" s="16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6"/>
      <x:c r="AM15" s="14"/>
      <x:c r="AN15" s="14"/>
    </x:row>
    <x:row r="16">
      <x:c r="A16" s="14"/>
      <x:c r="B16" s="16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6"/>
      <x:c r="AM16" s="14"/>
      <x:c r="AN16" s="14"/>
    </x:row>
    <x:row r="17">
      <x:c r="A17" s="14"/>
      <x:c r="B17" s="16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6"/>
      <x:c r="AM17" s="14"/>
      <x:c r="AN17" s="14"/>
    </x:row>
    <x:row r="18">
      <x:c r="A18" s="14"/>
      <x:c r="B18" s="16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6"/>
      <x:c r="AM18" s="14"/>
      <x:c r="AN18" s="14"/>
    </x:row>
    <x:row r="19">
      <x:c r="A19" s="14"/>
      <x:c r="B19" s="16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6"/>
      <x:c r="AM19" s="14"/>
      <x:c r="AN19" s="14"/>
    </x:row>
    <x:row r="20">
      <x:c r="A20" s="14"/>
      <x:c r="B20" s="16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6"/>
      <x:c r="AM20" s="14"/>
      <x:c r="AN20" s="14"/>
    </x:row>
    <x:row r="21">
      <x:c r="A21" s="14"/>
      <x:c r="B21" s="16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6"/>
      <x:c r="AM21" s="14"/>
      <x:c r="AN21" s="14"/>
    </x:row>
    <x:row r="22">
      <x:c r="A22" s="14"/>
      <x:c r="B22" s="16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6"/>
      <x:c r="AM22" s="14"/>
      <x:c r="AN22" s="14"/>
    </x:row>
    <x:row r="23">
      <x:c r="A23" s="14"/>
      <x:c r="B23" s="16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6"/>
      <x:c r="AM23" s="14"/>
      <x:c r="AN23" s="14"/>
    </x:row>
    <x:row r="24">
      <x:c r="A24" s="14"/>
      <x:c r="B24" s="16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6"/>
      <x:c r="AM24" s="14"/>
      <x:c r="AN24" s="14"/>
    </x:row>
    <x:row r="25">
      <x:c r="A25" s="14"/>
      <x:c r="B25" s="16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6"/>
      <x:c r="AM25" s="14"/>
      <x:c r="AN25" s="14"/>
    </x:row>
    <x:row r="26">
      <x:c r="A26" s="14"/>
      <x:c r="B26" s="16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6"/>
      <x:c r="AM26" s="14"/>
      <x:c r="AN26" s="14"/>
    </x:row>
    <x:row r="27">
      <x:c r="A27" s="14"/>
      <x:c r="B27" s="16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6"/>
      <x:c r="AM27" s="14"/>
      <x:c r="AN27" s="14"/>
    </x:row>
    <x:row r="28">
      <x:c r="A28" s="14"/>
      <x:c r="B28" s="16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6"/>
      <x:c r="AM28" s="14"/>
      <x:c r="AN28" s="14"/>
    </x:row>
    <x:row r="29">
      <x:c r="A29" s="14"/>
      <x:c r="B29" s="16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6"/>
      <x:c r="AM29" s="14"/>
      <x:c r="AN29" s="14"/>
    </x:row>
    <x:row r="30">
      <x:c r="A30" s="14"/>
      <x:c r="B30" s="16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6"/>
      <x:c r="AM30" s="14"/>
      <x:c r="AN30" s="14"/>
    </x:row>
    <x:row r="31">
      <x:c r="A31" s="14"/>
      <x:c r="B31" s="16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6"/>
      <x:c r="AM31" s="14"/>
      <x:c r="AN31" s="14"/>
    </x:row>
    <x:row r="32">
      <x:c r="A32" s="14"/>
      <x:c r="B32" s="16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6"/>
      <x:c r="AM32" s="14"/>
      <x:c r="AN32" s="14"/>
    </x:row>
    <x:row r="33">
      <x:c r="A33" s="14"/>
      <x:c r="B33" s="16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6"/>
      <x:c r="AM33" s="14"/>
      <x:c r="AN33" s="14"/>
    </x:row>
    <x:row r="34">
      <x:c r="A34" s="14"/>
      <x:c r="B34" s="16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6"/>
      <x:c r="AM34" s="14"/>
      <x:c r="AN34" s="14"/>
    </x:row>
    <x:row r="35">
      <x:c r="A35" s="14"/>
      <x:c r="B35" s="16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6"/>
      <x:c r="AM35" s="14"/>
      <x:c r="AN35" s="14"/>
    </x:row>
    <x:row r="36">
      <x:c r="A36" s="14"/>
      <x:c r="B36" s="16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6"/>
      <x:c r="AM36" s="14"/>
      <x:c r="AN36" s="14"/>
    </x:row>
    <x:row r="37">
      <x:c r="A37" s="14"/>
      <x:c r="B37" s="16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6"/>
      <x:c r="AM37" s="14"/>
      <x:c r="AN37" s="14"/>
    </x:row>
    <x:row r="38">
      <x:c r="A38" s="14"/>
      <x:c r="B38" s="16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6"/>
      <x:c r="AM38" s="14"/>
      <x:c r="AN38" s="14"/>
    </x:row>
    <x:row r="39">
      <x:c r="A39" s="14"/>
      <x:c r="B39" s="16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6"/>
      <x:c r="AM39" s="14"/>
      <x:c r="AN39" s="14"/>
    </x:row>
    <x:row r="40">
      <x:c r="A40" s="14"/>
      <x:c r="B40" s="16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6"/>
      <x:c r="AM40" s="14"/>
      <x:c r="AN40" s="14"/>
    </x:row>
    <x:row r="41">
      <x:c r="A41" s="14"/>
      <x:c r="B41" s="16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6"/>
      <x:c r="AM41" s="14"/>
      <x:c r="AN41" s="14"/>
    </x:row>
    <x:row r="42">
      <x:c r="A42" s="14"/>
      <x:c r="B42" s="16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6"/>
      <x:c r="AM42" s="14"/>
      <x:c r="AN42" s="14"/>
    </x:row>
    <x:row r="43">
      <x:c r="A43" s="14"/>
      <x:c r="B43" s="16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6"/>
      <x:c r="AM43" s="14"/>
      <x:c r="AN43" s="14"/>
    </x:row>
    <x:row r="44">
      <x:c r="A44" s="14"/>
      <x:c r="B44" s="16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6"/>
      <x:c r="AM44" s="14"/>
      <x:c r="AN44" s="14"/>
    </x:row>
    <x:row r="45">
      <x:c r="A45" s="14"/>
      <x:c r="B45" s="16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6"/>
      <x:c r="AM45" s="14"/>
      <x:c r="AN45" s="14"/>
    </x:row>
    <x:row r="46">
      <x:c r="A46" s="14"/>
      <x:c r="B46" s="16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6"/>
      <x:c r="AM46" s="14"/>
      <x:c r="AN46" s="14"/>
    </x:row>
    <x:row r="47">
      <x:c r="A47" s="14"/>
      <x:c r="B47" s="16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6"/>
      <x:c r="AM47" s="14"/>
      <x:c r="AN47" s="14"/>
    </x:row>
    <x:row r="48">
      <x:c r="A48" s="14"/>
      <x:c r="B48" s="16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6"/>
      <x:c r="AM48" s="14"/>
      <x:c r="AN48" s="14"/>
    </x:row>
    <x:row r="49">
      <x:c r="A49" s="14"/>
      <x:c r="B49" s="16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6"/>
      <x:c r="AM49" s="14"/>
      <x:c r="AN49" s="14"/>
    </x:row>
    <x:row r="50">
      <x:c r="A50" s="14"/>
      <x:c r="B50" s="16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6"/>
      <x:c r="AM50" s="14"/>
      <x:c r="AN5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9" t="str">
        <x:v>Status</x:v>
      </x:c>
      <x:c r="B1" s="19" t="str">
        <x:v>Priority</x:v>
      </x:c>
      <x:c r="C1" s="19" t="str">
        <x:v>Process</x:v>
      </x:c>
      <x:c r="D1" s="19" t="str">
        <x:v>Failure Category</x:v>
      </x:c>
    </x:row>
    <x:row r="2">
      <x:c r="A2" t="str">
        <x:v>Open</x:v>
      </x:c>
      <x:c r="B2" t="str">
        <x:v>Low</x:v>
      </x:c>
      <x:c r="C2" t="str">
        <x:v>Customer Incoming / Material</x:v>
      </x:c>
      <x:c r="D2" t="str">
        <x:v>Appearance</x:v>
      </x:c>
    </x:row>
    <x:row r="3">
      <x:c r="A3" t="str">
        <x:v>In Progress</x:v>
      </x:c>
      <x:c r="B3" t="str">
        <x:v>Medium</x:v>
      </x:c>
      <x:c r="C3" t="str">
        <x:v>Coating</x:v>
      </x:c>
      <x:c r="D3" t="str">
        <x:v>拉胶 / Stringing</x:v>
      </x:c>
    </x:row>
    <x:row r="4">
      <x:c r="A4" t="str">
        <x:v>Waiting Customer</x:v>
      </x:c>
      <x:c r="B4" t="str">
        <x:v>High</x:v>
      </x:c>
      <x:c r="C4" t="str">
        <x:v>Drying/Oven</x:v>
      </x:c>
      <x:c r="D4" t="str">
        <x:v>溢胶 / Adhesive Overflow</x:v>
      </x:c>
    </x:row>
    <x:row r="5">
      <x:c r="A5" t="str">
        <x:v>Waiting Internal</x:v>
      </x:c>
      <x:c r="B5" t="str">
        <x:v>Critical</x:v>
      </x:c>
      <x:c r="C5" t="str">
        <x:v>Lamination</x:v>
      </x:c>
      <x:c r="D5" t="str">
        <x:v>残胶 / Residue</x:v>
      </x:c>
    </x:row>
    <x:row r="6">
      <x:c r="A6" t="str">
        <x:v>Validation</x:v>
      </x:c>
      <x:c r="C6" t="str">
        <x:v>Slitting</x:v>
      </x:c>
      <x:c r="D6" t="str">
        <x:v>起翘 / Lifting</x:v>
      </x:c>
    </x:row>
    <x:row r="7">
      <x:c r="A7" t="str">
        <x:v>Closed</x:v>
      </x:c>
      <x:c r="C7" t="str">
        <x:v>Die-cut</x:v>
      </x:c>
      <x:c r="D7" t="str">
        <x:v>Curl</x:v>
      </x:c>
    </x:row>
    <x:row r="8">
      <x:c r="A8" t="str">
        <x:v>Hold</x:v>
      </x:c>
      <x:c r="C8" t="str">
        <x:v>Waste Stripping</x:v>
      </x:c>
      <x:c r="D8" t="str">
        <x:v>Bubble</x:v>
      </x:c>
    </x:row>
    <x:row r="9">
      <x:c r="C9" t="str">
        <x:v>Peeling/Release</x:v>
      </x:c>
      <x:c r="D9" t="str">
        <x:v>Wrinkle</x:v>
      </x:c>
    </x:row>
    <x:row r="10">
      <x:c r="C10" t="str">
        <x:v>Assembly</x:v>
      </x:c>
      <x:c r="D10" t="str">
        <x:v>Scratch</x:v>
      </x:c>
    </x:row>
    <x:row r="11">
      <x:c r="C11" t="str">
        <x:v>Reliability Test</x:v>
      </x:c>
      <x:c r="D11" t="str">
        <x:v>Foreign Material</x:v>
      </x:c>
    </x:row>
    <x:row r="12">
      <x:c r="C12" t="str">
        <x:v>Customer Process</x:v>
      </x:c>
      <x:c r="D12" t="str">
        <x:v>Release Force Low</x:v>
      </x:c>
    </x:row>
    <x:row r="13">
      <x:c r="C13" t="str">
        <x:v>Other</x:v>
      </x:c>
      <x:c r="D13" t="str">
        <x:v>Release Force High</x:v>
      </x:c>
    </x:row>
    <x:row r="14">
      <x:c r="D14" t="str">
        <x:v>Peel Low</x:v>
      </x:c>
    </x:row>
    <x:row r="15">
      <x:c r="D15" t="str">
        <x:v>High-temp Peel</x:v>
      </x:c>
    </x:row>
    <x:row r="16">
      <x:c r="D16" t="str">
        <x:v>Dimension</x:v>
      </x:c>
    </x:row>
    <x:row r="17">
      <x:c r="D17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VOC Intelligence Database V2.2</x:v>
      </x:c>
    </x:row>
    <x:row r="3">
      <x:c r="A3" s="19" t="str">
        <x:v>Metric</x:v>
      </x:c>
      <x:c r="B3" s="19" t="str">
        <x:v>Value</x:v>
      </x:c>
    </x:row>
    <x:row r="4">
      <x:c r="A4" t="str">
        <x:v>Total VOC</x:v>
      </x:c>
      <x:c r="B4" t="n">
        <x:f>COUNTA(VOC_Master_AI!A2:A2000)</x:f>
        <x:v>1</x:v>
      </x:c>
    </x:row>
    <x:row r="5">
      <x:c r="A5" t="str">
        <x:v>Open</x:v>
      </x:c>
      <x:c r="B5" t="n">
        <x:f>COUNTIF(VOC_Master_AI!AK2:AK2000,"Open")</x:f>
        <x:v>1</x:v>
      </x:c>
    </x:row>
    <x:row r="6">
      <x:c r="A6" t="str">
        <x:v>High / Critical</x:v>
      </x:c>
      <x:c r="B6" t="n">
        <x:f>COUNTIF(VOC_Master_AI!X2:X2000,"High")+COUNTIF(VOC_Master_AI!X2:X2000,"Critical")</x:f>
        <x:v>1</x:v>
      </x:c>
    </x:row>
    <x:row r="7">
      <x:c r="A7" t="str">
        <x:v>Closed</x:v>
      </x:c>
      <x:c r="B7" t="n">
        <x:f>COUNTIF(VOC_Master_AI!AK2:AK2000,"Closed")</x:f>
        <x:v>0</x:v>
      </x:c>
    </x:row>
    <x:row r="8">
      <x:c r="A8" t="str">
        <x:v>FACA Pending</x:v>
      </x:c>
      <x:c r="B8" t="n">
        <x:f>COUNTIFS(VOC_Master_AI!AA2:AA2000,"&lt;&gt;",VOC_Master_AI!AJ2:AJ2000,"")</x:f>
        <x:v>0</x:v>
      </x:c>
    </x:row>
  </x:sheetData>
  <x:mergeCells>
    <x:mergeCell ref="A1:F1"/>
  </x:mergeCells>
  <x:pageMargins left="0.7" right="0.7" top="0.75" bottom="0.75" header="0.3" footer="0.3"/>
</x:worksheet>
</file>